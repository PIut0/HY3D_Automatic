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7-8700K-02\Desktop\"/>
    </mc:Choice>
  </mc:AlternateContent>
  <bookViews>
    <workbookView xWindow="0" yWindow="0" windowWidth="10455" windowHeight="4590" activeTab="1"/>
  </bookViews>
  <sheets>
    <sheet name="의뢰관리" sheetId="19" r:id="rId1"/>
    <sheet name="산업용" sheetId="24" r:id="rId2"/>
    <sheet name="Sheet1" sheetId="22" r:id="rId3"/>
  </sheets>
  <functionGroups builtInGroupCount="18"/>
  <definedNames>
    <definedName name="_xlnm._FilterDatabase" localSheetId="0" hidden="1">의뢰관리!$B$1:$AL$1</definedName>
    <definedName name="_xlnm.Print_Area" localSheetId="1">산업용!$A$1:$H$67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9" l="1"/>
  <c r="C3" i="19"/>
  <c r="D3" i="19"/>
  <c r="E3" i="19"/>
  <c r="G3" i="19"/>
  <c r="N3" i="19"/>
  <c r="A2" i="19"/>
  <c r="C2" i="19"/>
  <c r="D2" i="19"/>
  <c r="E2" i="19"/>
  <c r="G2" i="19"/>
  <c r="N2" i="19"/>
  <c r="G66" i="24" l="1"/>
  <c r="H44" i="24"/>
  <c r="H45" i="24" s="1"/>
  <c r="G49" i="24" s="1"/>
  <c r="H39" i="24"/>
  <c r="H40" i="24" s="1"/>
  <c r="F49" i="24" s="1"/>
  <c r="H22" i="24"/>
  <c r="H21" i="24"/>
  <c r="H23" i="24" l="1"/>
  <c r="D49" i="24" s="1"/>
  <c r="A3" i="24" l="1"/>
  <c r="B10" i="24"/>
  <c r="G35" i="24"/>
  <c r="B16" i="24" l="1"/>
  <c r="B44" i="24"/>
  <c r="B49" i="24"/>
  <c r="H35" i="24"/>
  <c r="D28" i="24" s="1"/>
  <c r="G34" i="24"/>
  <c r="H34" i="24" s="1"/>
  <c r="G29" i="24" l="1"/>
  <c r="G28" i="24"/>
  <c r="G31" i="24"/>
  <c r="G30" i="24"/>
  <c r="H28" i="24" l="1"/>
  <c r="H32" i="24" s="1"/>
  <c r="E49" i="24" s="1"/>
  <c r="H49" i="24" s="1"/>
  <c r="H50" i="24" s="1"/>
  <c r="H51" i="24" l="1"/>
  <c r="H52" i="24" s="1"/>
  <c r="B12" i="24" s="1"/>
  <c r="C12" i="24" s="1"/>
</calcChain>
</file>

<file path=xl/comments1.xml><?xml version="1.0" encoding="utf-8"?>
<comments xmlns="http://schemas.openxmlformats.org/spreadsheetml/2006/main">
  <authors>
    <author>Junho Lee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Junho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 Ctrl+D </t>
        </r>
        <r>
          <rPr>
            <sz val="9"/>
            <color indexed="81"/>
            <rFont val="돋움"/>
            <family val="3"/>
            <charset val="129"/>
          </rPr>
          <t>눌러서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것
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Junho 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연락처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중복입력시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주황색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뜰꺼임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이전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재의뢰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했다는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의미로</t>
        </r>
        <r>
          <rPr>
            <sz val="9"/>
            <color indexed="81"/>
            <rFont val="Tahoma"/>
            <family val="2"/>
          </rPr>
          <t xml:space="preserve"> check </t>
        </r>
        <r>
          <rPr>
            <sz val="9"/>
            <color indexed="81"/>
            <rFont val="돋움"/>
            <family val="3"/>
            <charset val="129"/>
          </rPr>
          <t>활용하시길</t>
        </r>
      </text>
    </comment>
  </commentList>
</comments>
</file>

<file path=xl/sharedStrings.xml><?xml version="1.0" encoding="utf-8"?>
<sst xmlns="http://schemas.openxmlformats.org/spreadsheetml/2006/main" count="126" uniqueCount="114">
  <si>
    <t>소속</t>
    <phoneticPr fontId="1" type="noConversion"/>
  </si>
  <si>
    <t>이름</t>
    <phoneticPr fontId="1" type="noConversion"/>
  </si>
  <si>
    <t>메일</t>
    <phoneticPr fontId="1" type="noConversion"/>
  </si>
  <si>
    <t>연락처</t>
    <phoneticPr fontId="1" type="noConversion"/>
  </si>
  <si>
    <t>상담방식</t>
    <phoneticPr fontId="1" type="noConversion"/>
  </si>
  <si>
    <t>아이템</t>
    <phoneticPr fontId="1" type="noConversion"/>
  </si>
  <si>
    <t>분야</t>
    <phoneticPr fontId="1" type="noConversion"/>
  </si>
  <si>
    <t>홍보가부</t>
    <phoneticPr fontId="1" type="noConversion"/>
  </si>
  <si>
    <t>진행단계</t>
    <phoneticPr fontId="1" type="noConversion"/>
  </si>
  <si>
    <t>작업의뢰 내용</t>
    <phoneticPr fontId="1" type="noConversion"/>
  </si>
  <si>
    <t>견적가</t>
    <phoneticPr fontId="1" type="noConversion"/>
  </si>
  <si>
    <t>납품마감일</t>
    <phoneticPr fontId="1" type="noConversion"/>
  </si>
  <si>
    <t>일자</t>
    <phoneticPr fontId="1" type="noConversion"/>
  </si>
  <si>
    <t>향후 액션플랜</t>
    <phoneticPr fontId="1" type="noConversion"/>
  </si>
  <si>
    <t>요일</t>
    <phoneticPr fontId="1" type="noConversion"/>
  </si>
  <si>
    <t>주소</t>
    <phoneticPr fontId="1" type="noConversion"/>
  </si>
  <si>
    <t>업태</t>
    <phoneticPr fontId="1" type="noConversion"/>
  </si>
  <si>
    <t>모델링</t>
    <phoneticPr fontId="1" type="noConversion"/>
  </si>
  <si>
    <t>프린팅</t>
    <phoneticPr fontId="1" type="noConversion"/>
  </si>
  <si>
    <t>후가공 및 도색</t>
    <phoneticPr fontId="1" type="noConversion"/>
  </si>
  <si>
    <t>배송</t>
    <phoneticPr fontId="1" type="noConversion"/>
  </si>
  <si>
    <t>부가세</t>
    <phoneticPr fontId="1" type="noConversion"/>
  </si>
  <si>
    <t>외주비</t>
    <phoneticPr fontId="1" type="noConversion"/>
  </si>
  <si>
    <t>마진율</t>
    <phoneticPr fontId="1" type="noConversion"/>
  </si>
  <si>
    <t>마진</t>
    <phoneticPr fontId="1" type="noConversion"/>
  </si>
  <si>
    <t>입금확인</t>
    <phoneticPr fontId="1" type="noConversion"/>
  </si>
  <si>
    <t>진행여부</t>
    <phoneticPr fontId="1" type="noConversion"/>
  </si>
  <si>
    <t>sales code</t>
    <phoneticPr fontId="1" type="noConversion"/>
  </si>
  <si>
    <t>시간</t>
    <phoneticPr fontId="1" type="noConversion"/>
  </si>
  <si>
    <t>NO</t>
    <phoneticPr fontId="1" type="noConversion"/>
  </si>
  <si>
    <t>년도</t>
    <phoneticPr fontId="1" type="noConversion"/>
  </si>
  <si>
    <t>월</t>
    <phoneticPr fontId="1" type="noConversion"/>
  </si>
  <si>
    <t>기존분류</t>
    <phoneticPr fontId="1" type="noConversion"/>
  </si>
  <si>
    <t>주</t>
    <phoneticPr fontId="1" type="noConversion"/>
  </si>
  <si>
    <t>경로3</t>
    <phoneticPr fontId="1" type="noConversion"/>
  </si>
  <si>
    <t>경로1</t>
    <phoneticPr fontId="1" type="noConversion"/>
  </si>
  <si>
    <t>경로2</t>
    <phoneticPr fontId="1" type="noConversion"/>
  </si>
  <si>
    <t>세금계산서</t>
    <phoneticPr fontId="1" type="noConversion"/>
  </si>
  <si>
    <t>SLA</t>
  </si>
  <si>
    <t>SLS</t>
    <phoneticPr fontId="1" type="noConversion"/>
  </si>
  <si>
    <t>SLA</t>
    <phoneticPr fontId="1" type="noConversion"/>
  </si>
  <si>
    <t>SLA(clear)</t>
    <phoneticPr fontId="1" type="noConversion"/>
  </si>
  <si>
    <t>장비</t>
    <phoneticPr fontId="1" type="noConversion"/>
  </si>
  <si>
    <t>열1</t>
    <phoneticPr fontId="1" type="noConversion"/>
  </si>
  <si>
    <r>
      <t xml:space="preserve">견  적  서 </t>
    </r>
    <r>
      <rPr>
        <b/>
        <sz val="14"/>
        <color indexed="8"/>
        <rFont val="돋움"/>
        <family val="3"/>
        <charset val="129"/>
      </rPr>
      <t>(ESTIMATION)</t>
    </r>
    <phoneticPr fontId="12" type="noConversion"/>
  </si>
  <si>
    <t>no입력란</t>
    <phoneticPr fontId="14" type="noConversion"/>
  </si>
  <si>
    <t>하이쓰리디(HY3D)</t>
    <phoneticPr fontId="12" type="noConversion"/>
  </si>
  <si>
    <t>사업자등록번호: 480-81-01029
업태: 제조업, 서비스업
소재: 경기도 안산시 상록구 사3동 1271 
한양대학교 erica캠퍼스 학연산클러스터 4층 7호
연락처: 031-436-8029</t>
    <phoneticPr fontId="12" type="noConversion"/>
  </si>
  <si>
    <t>귀사의 일익 번창하심을 기원합니다.
문의하신 제품 제작에 대한 예산 내역서를 제출하오니
업무 참조 바랍니다.</t>
    <phoneticPr fontId="12" type="noConversion"/>
  </si>
  <si>
    <t xml:space="preserve">대표이사  이정욱  </t>
    <phoneticPr fontId="12" type="noConversion"/>
  </si>
  <si>
    <t xml:space="preserve">□  제 품 명 : </t>
    <phoneticPr fontId="12" type="noConversion"/>
  </si>
  <si>
    <t xml:space="preserve">□  합계금액: </t>
    <phoneticPr fontId="12" type="noConversion"/>
  </si>
  <si>
    <t>□  세부내역</t>
    <phoneticPr fontId="12" type="noConversion"/>
  </si>
  <si>
    <t>*워킹데이기준</t>
    <phoneticPr fontId="12" type="noConversion"/>
  </si>
  <si>
    <t>No.</t>
    <phoneticPr fontId="12" type="noConversion"/>
  </si>
  <si>
    <t>제품명</t>
    <phoneticPr fontId="12" type="noConversion"/>
  </si>
  <si>
    <t>소요일자</t>
    <phoneticPr fontId="12" type="noConversion"/>
  </si>
  <si>
    <t>1. 3D 모델링 제작</t>
    <phoneticPr fontId="12" type="noConversion"/>
  </si>
  <si>
    <t>내역</t>
    <phoneticPr fontId="12" type="noConversion"/>
  </si>
  <si>
    <t>담당자</t>
    <phoneticPr fontId="12" type="noConversion"/>
  </si>
  <si>
    <t>소요일</t>
    <phoneticPr fontId="12" type="noConversion"/>
  </si>
  <si>
    <t>단가(원)</t>
    <phoneticPr fontId="12" type="noConversion"/>
  </si>
  <si>
    <t>금액(원)</t>
    <phoneticPr fontId="12" type="noConversion"/>
  </si>
  <si>
    <t>소  계</t>
    <phoneticPr fontId="12" type="noConversion"/>
  </si>
  <si>
    <t>2. 3D 프린팅 제작</t>
    <phoneticPr fontId="12" type="noConversion"/>
  </si>
  <si>
    <t>No.</t>
  </si>
  <si>
    <t>장비사용료</t>
  </si>
  <si>
    <t>재료소모량</t>
  </si>
  <si>
    <t>금액(원)</t>
  </si>
  <si>
    <t>제작시간</t>
  </si>
  <si>
    <t>Model(g)</t>
  </si>
  <si>
    <t>수량</t>
    <phoneticPr fontId="12" type="noConversion"/>
  </si>
  <si>
    <t>제품</t>
    <phoneticPr fontId="12" type="noConversion"/>
  </si>
  <si>
    <t>단가</t>
    <phoneticPr fontId="12" type="noConversion"/>
  </si>
  <si>
    <t>Model</t>
    <phoneticPr fontId="12" type="noConversion"/>
  </si>
  <si>
    <t>3D프린터</t>
    <phoneticPr fontId="12" type="noConversion"/>
  </si>
  <si>
    <t>3. 도색</t>
    <phoneticPr fontId="12" type="noConversion"/>
  </si>
  <si>
    <t>단가</t>
    <phoneticPr fontId="12" type="noConversion"/>
  </si>
  <si>
    <t>금액</t>
    <phoneticPr fontId="12" type="noConversion"/>
  </si>
  <si>
    <t>4. 배송</t>
    <phoneticPr fontId="12" type="noConversion"/>
  </si>
  <si>
    <t>수량</t>
    <phoneticPr fontId="12" type="noConversion"/>
  </si>
  <si>
    <t>금액</t>
    <phoneticPr fontId="12" type="noConversion"/>
  </si>
  <si>
    <t>소  계</t>
    <phoneticPr fontId="12" type="noConversion"/>
  </si>
  <si>
    <t>4. 총 계</t>
    <phoneticPr fontId="12" type="noConversion"/>
  </si>
  <si>
    <t>No.</t>
    <phoneticPr fontId="12" type="noConversion"/>
  </si>
  <si>
    <t>내역</t>
    <phoneticPr fontId="12" type="noConversion"/>
  </si>
  <si>
    <t>3D 모델링</t>
    <phoneticPr fontId="12" type="noConversion"/>
  </si>
  <si>
    <t>3D 프린팅</t>
    <phoneticPr fontId="12" type="noConversion"/>
  </si>
  <si>
    <t>도색</t>
    <phoneticPr fontId="12" type="noConversion"/>
  </si>
  <si>
    <t>배송</t>
    <phoneticPr fontId="12" type="noConversion"/>
  </si>
  <si>
    <t>합계</t>
    <phoneticPr fontId="12" type="noConversion"/>
  </si>
  <si>
    <t>공 급 가 액</t>
    <phoneticPr fontId="12" type="noConversion"/>
  </si>
  <si>
    <t>V. A. T.</t>
    <phoneticPr fontId="12" type="noConversion"/>
  </si>
  <si>
    <t>최 종 금 액</t>
    <phoneticPr fontId="12" type="noConversion"/>
  </si>
  <si>
    <t>1. 대금 지불기준</t>
    <phoneticPr fontId="12" type="noConversion"/>
  </si>
  <si>
    <t xml:space="preserve">  : 3D 출력제작 비용 선납</t>
    <phoneticPr fontId="12" type="noConversion"/>
  </si>
  <si>
    <t>2. 제작기간</t>
    <phoneticPr fontId="12" type="noConversion"/>
  </si>
  <si>
    <t xml:space="preserve">  : 상호 합의하에 일정 조정 가능</t>
    <phoneticPr fontId="12" type="noConversion"/>
  </si>
  <si>
    <t>3. 모델링 제작</t>
    <phoneticPr fontId="12" type="noConversion"/>
  </si>
  <si>
    <t xml:space="preserve">  : 모델링 수정작업 요청시, 작업시간에 비례하여 견적가가 변동될 수 있음</t>
    <phoneticPr fontId="12" type="noConversion"/>
  </si>
  <si>
    <t>4. 프린팅 제작</t>
    <phoneticPr fontId="12" type="noConversion"/>
  </si>
  <si>
    <t xml:space="preserve">  : 출력 진행시 수정 및 중단이 불가하며, 제작기간 이후의 제품에 대해서 A/S 지원 불가</t>
    <phoneticPr fontId="12" type="noConversion"/>
  </si>
  <si>
    <t>견적일자:</t>
    <phoneticPr fontId="12" type="noConversion"/>
  </si>
  <si>
    <t>이상</t>
    <phoneticPr fontId="12" type="noConversion"/>
  </si>
  <si>
    <t>2일</t>
    <phoneticPr fontId="12" type="noConversion"/>
  </si>
  <si>
    <t>Z:\Google Drive\한양3D팩토리\0. 운영자료\04_계약·법무(기업계약서, 견적서, 특허\1. HY3D 견적서\견적서\200109_loso_flange_알프마이어코리아(2).pdf</t>
    <phoneticPr fontId="14" type="noConversion"/>
  </si>
  <si>
    <t>개인</t>
    <phoneticPr fontId="1" type="noConversion"/>
  </si>
  <si>
    <t>우수정밀</t>
    <phoneticPr fontId="1" type="noConversion"/>
  </si>
  <si>
    <t>목업</t>
    <phoneticPr fontId="1" type="noConversion"/>
  </si>
  <si>
    <t>이정우</t>
    <phoneticPr fontId="1" type="noConversion"/>
  </si>
  <si>
    <t>slsbio_1차수정안</t>
    <phoneticPr fontId="1" type="noConversion"/>
  </si>
  <si>
    <t>1set, 2set 일때 각각 견적 요청</t>
    <phoneticPr fontId="1" type="noConversion"/>
  </si>
  <si>
    <t>안경</t>
    <phoneticPr fontId="1" type="noConversion"/>
  </si>
  <si>
    <t>a01@gmail.com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</si>
</sst>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0_);[Red]\(0\)"/>
    <numFmt numFmtId="180" formatCode="[$-409]h:mm\ AM/PM;@"/>
    <numFmt numFmtId="185" formatCode="&quot;귀하&quot;"/>
    <numFmt numFmtId="186" formatCode="[DBNum4][$-412]General\ &quot;원&quot;&quot;정&quot;"/>
    <numFmt numFmtId="187" formatCode="\(\ &quot;₩&quot;\ #,###\ \)\ \(\V.\A.\T.&quot;포&quot;&quot;함&quot;\)"/>
    <numFmt numFmtId="188" formatCode="#,###&quot;원/g&quot;"/>
    <numFmt numFmtId="189" formatCode="##,###&quot;원/시간&quot;"/>
  </numFmts>
  <fonts count="2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6"/>
      <color indexed="8"/>
      <name val="돋움"/>
      <family val="3"/>
      <charset val="129"/>
    </font>
    <font>
      <b/>
      <sz val="14"/>
      <color indexed="8"/>
      <name val="돋움"/>
      <family val="3"/>
      <charset val="129"/>
    </font>
    <font>
      <sz val="8"/>
      <name val="맑은 고딕"/>
      <family val="3"/>
      <charset val="129"/>
    </font>
    <font>
      <sz val="10"/>
      <color indexed="8"/>
      <name val="돋움"/>
      <family val="3"/>
      <charset val="129"/>
    </font>
    <font>
      <sz val="8"/>
      <name val="맑은 고딕"/>
      <family val="3"/>
      <charset val="129"/>
      <scheme val="minor"/>
    </font>
    <font>
      <b/>
      <sz val="12"/>
      <color indexed="8"/>
      <name val="돋움"/>
      <family val="3"/>
      <charset val="129"/>
    </font>
    <font>
      <sz val="8"/>
      <color indexed="8"/>
      <name val="돋움"/>
      <family val="3"/>
      <charset val="129"/>
    </font>
    <font>
      <sz val="11"/>
      <color theme="1"/>
      <name val="돋움"/>
      <family val="3"/>
      <charset val="129"/>
    </font>
    <font>
      <b/>
      <sz val="10"/>
      <color indexed="8"/>
      <name val="돋움"/>
      <family val="3"/>
      <charset val="129"/>
    </font>
    <font>
      <sz val="10"/>
      <color theme="1"/>
      <name val="돋움"/>
      <family val="3"/>
      <charset val="129"/>
    </font>
    <font>
      <sz val="9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sz val="8"/>
      <color theme="1"/>
      <name val="돋움"/>
      <family val="3"/>
      <charset val="129"/>
    </font>
    <font>
      <b/>
      <sz val="11"/>
      <color theme="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42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</cellStyleXfs>
  <cellXfs count="121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7" fillId="0" borderId="0" xfId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1" fontId="0" fillId="0" borderId="0" xfId="3" applyFont="1" applyFill="1">
      <alignment vertical="center"/>
    </xf>
    <xf numFmtId="41" fontId="0" fillId="0" borderId="0" xfId="3" applyFont="1" applyFill="1" applyAlignment="1">
      <alignment horizontal="center" vertical="center"/>
    </xf>
    <xf numFmtId="180" fontId="0" fillId="0" borderId="0" xfId="0" applyNumberForma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76" fontId="0" fillId="0" borderId="4" xfId="0" applyNumberFormat="1" applyFill="1" applyBorder="1" applyAlignment="1">
      <alignment horizontal="center" vertical="center"/>
    </xf>
    <xf numFmtId="180" fontId="0" fillId="0" borderId="4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" xfId="0" applyFill="1" applyBorder="1" applyAlignment="1">
      <alignment horizontal="left" vertical="center"/>
    </xf>
    <xf numFmtId="41" fontId="0" fillId="0" borderId="1" xfId="3" applyFont="1" applyFill="1" applyBorder="1" applyAlignment="1">
      <alignment horizontal="center" vertical="center"/>
    </xf>
    <xf numFmtId="41" fontId="0" fillId="0" borderId="2" xfId="3" applyFont="1" applyFill="1" applyBorder="1" applyAlignment="1">
      <alignment horizontal="center" vertical="center"/>
    </xf>
    <xf numFmtId="41" fontId="0" fillId="0" borderId="6" xfId="3" applyFont="1" applyFill="1" applyBorder="1" applyAlignment="1">
      <alignment horizontal="center" vertical="center"/>
    </xf>
    <xf numFmtId="9" fontId="0" fillId="0" borderId="6" xfId="2" applyFont="1" applyFill="1" applyBorder="1" applyAlignment="1">
      <alignment horizontal="center" vertical="center"/>
    </xf>
    <xf numFmtId="41" fontId="0" fillId="0" borderId="3" xfId="3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5" fillId="0" borderId="0" xfId="0" applyNumberFormat="1" applyFont="1" applyFill="1" applyAlignment="1">
      <alignment horizontal="center" vertical="center"/>
    </xf>
    <xf numFmtId="0" fontId="5" fillId="0" borderId="0" xfId="0" applyFont="1" applyFill="1">
      <alignment vertical="center"/>
    </xf>
    <xf numFmtId="41" fontId="6" fillId="0" borderId="0" xfId="3" applyFont="1" applyFill="1">
      <alignment vertical="center"/>
    </xf>
    <xf numFmtId="41" fontId="6" fillId="0" borderId="0" xfId="3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9" fontId="0" fillId="0" borderId="0" xfId="2" applyFont="1" applyFill="1">
      <alignment vertical="center"/>
    </xf>
    <xf numFmtId="14" fontId="0" fillId="0" borderId="7" xfId="0" applyNumberFormat="1" applyFill="1" applyBorder="1" applyAlignment="1">
      <alignment horizontal="center" vertical="center"/>
    </xf>
    <xf numFmtId="9" fontId="6" fillId="0" borderId="0" xfId="2" applyFont="1" applyFill="1" applyAlignment="1">
      <alignment horizontal="center" vertical="center"/>
    </xf>
    <xf numFmtId="0" fontId="13" fillId="0" borderId="0" xfId="5" applyNumberFormat="1" applyFont="1" applyFill="1">
      <alignment vertical="center"/>
    </xf>
    <xf numFmtId="0" fontId="13" fillId="0" borderId="0" xfId="5" applyNumberFormat="1" applyFont="1">
      <alignment vertical="center"/>
    </xf>
    <xf numFmtId="0" fontId="15" fillId="0" borderId="14" xfId="5" applyNumberFormat="1" applyFont="1" applyFill="1" applyBorder="1" applyAlignment="1">
      <alignment vertical="center"/>
    </xf>
    <xf numFmtId="0" fontId="13" fillId="0" borderId="0" xfId="5" applyNumberFormat="1" applyFont="1" applyFill="1" applyAlignment="1">
      <alignment vertical="center"/>
    </xf>
    <xf numFmtId="0" fontId="13" fillId="0" borderId="0" xfId="5" applyNumberFormat="1" applyFont="1" applyAlignment="1">
      <alignment vertical="center"/>
    </xf>
    <xf numFmtId="0" fontId="13" fillId="0" borderId="0" xfId="5" applyNumberFormat="1" applyFont="1" applyFill="1" applyBorder="1" applyAlignment="1">
      <alignment vertical="center"/>
    </xf>
    <xf numFmtId="0" fontId="13" fillId="0" borderId="0" xfId="5" applyNumberFormat="1" applyFont="1" applyFill="1" applyBorder="1" applyAlignment="1">
      <alignment horizontal="center" vertical="center"/>
    </xf>
    <xf numFmtId="0" fontId="13" fillId="0" borderId="0" xfId="5" applyNumberFormat="1" applyFont="1" applyFill="1" applyBorder="1" applyAlignment="1">
      <alignment horizontal="right" vertical="center"/>
    </xf>
    <xf numFmtId="0" fontId="13" fillId="0" borderId="17" xfId="5" applyNumberFormat="1" applyFont="1" applyFill="1" applyBorder="1" applyAlignment="1">
      <alignment horizontal="center" vertical="center"/>
    </xf>
    <xf numFmtId="0" fontId="13" fillId="0" borderId="17" xfId="5" applyNumberFormat="1" applyFont="1" applyFill="1" applyBorder="1" applyAlignment="1">
      <alignment vertical="center"/>
    </xf>
    <xf numFmtId="0" fontId="13" fillId="0" borderId="0" xfId="5" applyNumberFormat="1" applyFont="1" applyFill="1" applyAlignment="1">
      <alignment horizontal="center" vertical="center"/>
    </xf>
    <xf numFmtId="0" fontId="18" fillId="0" borderId="0" xfId="5" applyNumberFormat="1" applyFont="1" applyFill="1" applyAlignment="1">
      <alignment horizontal="center" vertical="center"/>
    </xf>
    <xf numFmtId="0" fontId="18" fillId="0" borderId="0" xfId="5" applyNumberFormat="1" applyFont="1" applyFill="1" applyAlignment="1">
      <alignment horizontal="left" vertical="center"/>
    </xf>
    <xf numFmtId="0" fontId="18" fillId="0" borderId="0" xfId="5" applyNumberFormat="1" applyFont="1" applyFill="1" applyAlignment="1">
      <alignment vertical="center"/>
    </xf>
    <xf numFmtId="186" fontId="18" fillId="0" borderId="0" xfId="5" applyNumberFormat="1" applyFont="1" applyFill="1" applyAlignment="1">
      <alignment horizontal="center" vertical="center"/>
    </xf>
    <xf numFmtId="42" fontId="18" fillId="0" borderId="0" xfId="5" applyNumberFormat="1" applyFont="1" applyFill="1" applyAlignment="1">
      <alignment vertical="center"/>
    </xf>
    <xf numFmtId="41" fontId="18" fillId="0" borderId="0" xfId="7" applyNumberFormat="1" applyFont="1" applyFill="1" applyAlignment="1">
      <alignment horizontal="center" vertical="center"/>
    </xf>
    <xf numFmtId="41" fontId="13" fillId="0" borderId="0" xfId="7" applyNumberFormat="1" applyFont="1" applyFill="1" applyAlignment="1">
      <alignment vertical="center"/>
    </xf>
    <xf numFmtId="0" fontId="9" fillId="0" borderId="0" xfId="4" applyNumberFormat="1" applyAlignment="1">
      <alignment vertical="center"/>
    </xf>
    <xf numFmtId="0" fontId="19" fillId="0" borderId="5" xfId="5" applyFont="1" applyFill="1" applyBorder="1" applyAlignment="1">
      <alignment horizontal="center" vertical="center"/>
    </xf>
    <xf numFmtId="0" fontId="17" fillId="0" borderId="0" xfId="5" applyFont="1">
      <alignment vertical="center"/>
    </xf>
    <xf numFmtId="0" fontId="20" fillId="0" borderId="5" xfId="5" applyFont="1" applyFill="1" applyBorder="1" applyAlignment="1">
      <alignment horizontal="center" vertical="center"/>
    </xf>
    <xf numFmtId="0" fontId="20" fillId="0" borderId="5" xfId="5" applyNumberFormat="1" applyFont="1" applyFill="1" applyBorder="1" applyAlignment="1">
      <alignment horizontal="center" vertical="center"/>
    </xf>
    <xf numFmtId="0" fontId="20" fillId="0" borderId="0" xfId="5" applyFont="1" applyFill="1" applyAlignment="1">
      <alignment horizontal="center" vertical="center"/>
    </xf>
    <xf numFmtId="0" fontId="20" fillId="0" borderId="0" xfId="5" applyFont="1" applyFill="1">
      <alignment vertical="center"/>
    </xf>
    <xf numFmtId="0" fontId="20" fillId="0" borderId="0" xfId="5" applyFont="1">
      <alignment vertical="center"/>
    </xf>
    <xf numFmtId="0" fontId="21" fillId="0" borderId="0" xfId="5" applyFont="1" applyFill="1" applyAlignment="1">
      <alignment horizontal="left" vertical="center"/>
    </xf>
    <xf numFmtId="0" fontId="17" fillId="0" borderId="0" xfId="5" applyFont="1" applyFill="1">
      <alignment vertical="center"/>
    </xf>
    <xf numFmtId="42" fontId="20" fillId="0" borderId="5" xfId="7" applyNumberFormat="1" applyFont="1" applyFill="1" applyBorder="1" applyAlignment="1">
      <alignment horizontal="center" vertical="center"/>
    </xf>
    <xf numFmtId="0" fontId="20" fillId="0" borderId="5" xfId="5" applyFont="1" applyFill="1" applyBorder="1" applyAlignment="1">
      <alignment horizontal="center" vertical="center" wrapText="1"/>
    </xf>
    <xf numFmtId="0" fontId="20" fillId="0" borderId="5" xfId="7" applyNumberFormat="1" applyFont="1" applyFill="1" applyBorder="1" applyAlignment="1">
      <alignment horizontal="center" vertical="center"/>
    </xf>
    <xf numFmtId="42" fontId="20" fillId="0" borderId="5" xfId="5" applyNumberFormat="1" applyFont="1" applyFill="1" applyBorder="1" applyAlignment="1">
      <alignment horizontal="center" vertical="center"/>
    </xf>
    <xf numFmtId="41" fontId="20" fillId="0" borderId="0" xfId="7" applyFont="1" applyFill="1" applyAlignment="1">
      <alignment horizontal="center" vertical="center"/>
    </xf>
    <xf numFmtId="0" fontId="22" fillId="0" borderId="0" xfId="5" applyFont="1" applyFill="1">
      <alignment vertical="center"/>
    </xf>
    <xf numFmtId="0" fontId="22" fillId="0" borderId="0" xfId="5" applyFont="1" applyFill="1" applyAlignment="1">
      <alignment horizontal="center" vertical="center"/>
    </xf>
    <xf numFmtId="188" fontId="22" fillId="0" borderId="0" xfId="5" applyNumberFormat="1" applyFont="1" applyFill="1">
      <alignment vertical="center"/>
    </xf>
    <xf numFmtId="189" fontId="22" fillId="0" borderId="0" xfId="5" applyNumberFormat="1" applyFont="1" applyFill="1">
      <alignment vertical="center"/>
    </xf>
    <xf numFmtId="41" fontId="19" fillId="0" borderId="5" xfId="7" applyFont="1" applyFill="1" applyBorder="1" applyAlignment="1">
      <alignment horizontal="center" vertical="center"/>
    </xf>
    <xf numFmtId="0" fontId="20" fillId="0" borderId="0" xfId="5" applyFont="1" applyAlignment="1">
      <alignment horizontal="center" vertical="center"/>
    </xf>
    <xf numFmtId="0" fontId="17" fillId="0" borderId="0" xfId="5" applyFont="1" applyAlignment="1">
      <alignment horizontal="center" vertical="center"/>
    </xf>
    <xf numFmtId="41" fontId="20" fillId="0" borderId="0" xfId="7" applyFont="1" applyFill="1" applyBorder="1" applyAlignment="1">
      <alignment horizontal="center" vertical="center"/>
    </xf>
    <xf numFmtId="42" fontId="20" fillId="0" borderId="0" xfId="7" applyNumberFormat="1" applyFont="1" applyFill="1" applyBorder="1" applyAlignment="1">
      <alignment horizontal="center" vertical="center"/>
    </xf>
    <xf numFmtId="0" fontId="19" fillId="0" borderId="0" xfId="5" applyFont="1" applyBorder="1" applyAlignment="1">
      <alignment horizontal="center" vertical="center"/>
    </xf>
    <xf numFmtId="42" fontId="22" fillId="0" borderId="5" xfId="5" applyNumberFormat="1" applyFont="1" applyFill="1" applyBorder="1">
      <alignment vertical="center"/>
    </xf>
    <xf numFmtId="42" fontId="22" fillId="0" borderId="5" xfId="5" applyNumberFormat="1" applyFont="1" applyFill="1" applyBorder="1" applyAlignment="1">
      <alignment horizontal="center" vertical="center"/>
    </xf>
    <xf numFmtId="42" fontId="20" fillId="0" borderId="5" xfId="5" applyNumberFormat="1" applyFont="1" applyFill="1" applyBorder="1">
      <alignment vertical="center"/>
    </xf>
    <xf numFmtId="0" fontId="20" fillId="0" borderId="0" xfId="5" applyFont="1" applyBorder="1">
      <alignment vertical="center"/>
    </xf>
    <xf numFmtId="41" fontId="20" fillId="0" borderId="0" xfId="5" applyNumberFormat="1" applyFont="1" applyFill="1">
      <alignment vertical="center"/>
    </xf>
    <xf numFmtId="0" fontId="17" fillId="0" borderId="0" xfId="5" applyFont="1" applyFill="1" applyAlignment="1">
      <alignment vertical="center"/>
    </xf>
    <xf numFmtId="0" fontId="17" fillId="0" borderId="0" xfId="5" applyFont="1" applyFill="1" applyAlignment="1">
      <alignment horizontal="center" vertical="center"/>
    </xf>
    <xf numFmtId="0" fontId="23" fillId="0" borderId="0" xfId="5" applyFont="1" applyFill="1" applyAlignment="1">
      <alignment horizontal="right" vertical="center"/>
    </xf>
    <xf numFmtId="0" fontId="17" fillId="0" borderId="0" xfId="5" applyFont="1" applyFill="1" applyAlignment="1">
      <alignment horizontal="right" vertical="center"/>
    </xf>
    <xf numFmtId="0" fontId="20" fillId="0" borderId="8" xfId="5" applyFont="1" applyFill="1" applyBorder="1" applyAlignment="1">
      <alignment horizontal="left" vertical="center"/>
    </xf>
    <xf numFmtId="0" fontId="20" fillId="0" borderId="9" xfId="5" applyFont="1" applyFill="1" applyBorder="1" applyAlignment="1">
      <alignment horizontal="left" vertical="center"/>
    </xf>
    <xf numFmtId="0" fontId="20" fillId="0" borderId="8" xfId="5" applyFont="1" applyFill="1" applyBorder="1" applyAlignment="1">
      <alignment horizontal="center" vertical="center"/>
    </xf>
    <xf numFmtId="0" fontId="20" fillId="0" borderId="18" xfId="5" applyFont="1" applyFill="1" applyBorder="1" applyAlignment="1">
      <alignment horizontal="center" vertical="center"/>
    </xf>
    <xf numFmtId="0" fontId="20" fillId="0" borderId="9" xfId="5" applyFont="1" applyFill="1" applyBorder="1" applyAlignment="1">
      <alignment horizontal="center" vertical="center"/>
    </xf>
    <xf numFmtId="31" fontId="23" fillId="0" borderId="0" xfId="5" applyNumberFormat="1" applyFont="1" applyFill="1" applyAlignment="1">
      <alignment horizontal="right" vertical="center"/>
    </xf>
    <xf numFmtId="0" fontId="19" fillId="0" borderId="8" xfId="5" applyFont="1" applyFill="1" applyBorder="1" applyAlignment="1">
      <alignment horizontal="center" vertical="center"/>
    </xf>
    <xf numFmtId="0" fontId="19" fillId="0" borderId="9" xfId="5" applyFont="1" applyFill="1" applyBorder="1" applyAlignment="1">
      <alignment horizontal="center" vertical="center"/>
    </xf>
    <xf numFmtId="0" fontId="19" fillId="0" borderId="10" xfId="5" applyFont="1" applyFill="1" applyBorder="1" applyAlignment="1">
      <alignment horizontal="center" vertical="center"/>
    </xf>
    <xf numFmtId="0" fontId="19" fillId="0" borderId="11" xfId="5" applyFont="1" applyFill="1" applyBorder="1" applyAlignment="1">
      <alignment horizontal="center" vertical="center"/>
    </xf>
    <xf numFmtId="0" fontId="20" fillId="0" borderId="10" xfId="5" applyFont="1" applyFill="1" applyBorder="1" applyAlignment="1">
      <alignment horizontal="center" vertical="center"/>
    </xf>
    <xf numFmtId="0" fontId="20" fillId="0" borderId="19" xfId="5" applyFont="1" applyFill="1" applyBorder="1" applyAlignment="1">
      <alignment horizontal="center" vertical="center"/>
    </xf>
    <xf numFmtId="42" fontId="20" fillId="0" borderId="10" xfId="5" applyNumberFormat="1" applyFont="1" applyFill="1" applyBorder="1" applyAlignment="1">
      <alignment horizontal="center" vertical="center"/>
    </xf>
    <xf numFmtId="42" fontId="20" fillId="0" borderId="19" xfId="5" applyNumberFormat="1" applyFont="1" applyFill="1" applyBorder="1" applyAlignment="1">
      <alignment horizontal="center" vertical="center"/>
    </xf>
    <xf numFmtId="42" fontId="20" fillId="0" borderId="10" xfId="7" applyNumberFormat="1" applyFont="1" applyFill="1" applyBorder="1" applyAlignment="1">
      <alignment horizontal="center" vertical="center"/>
    </xf>
    <xf numFmtId="42" fontId="20" fillId="0" borderId="19" xfId="7" applyNumberFormat="1" applyFont="1" applyFill="1" applyBorder="1" applyAlignment="1">
      <alignment horizontal="center" vertical="center"/>
    </xf>
    <xf numFmtId="0" fontId="19" fillId="0" borderId="18" xfId="5" applyFont="1" applyFill="1" applyBorder="1" applyAlignment="1">
      <alignment horizontal="center" vertical="center"/>
    </xf>
    <xf numFmtId="0" fontId="20" fillId="0" borderId="8" xfId="7" applyNumberFormat="1" applyFont="1" applyFill="1" applyBorder="1" applyAlignment="1">
      <alignment horizontal="left" vertical="center"/>
    </xf>
    <xf numFmtId="0" fontId="20" fillId="0" borderId="18" xfId="7" applyNumberFormat="1" applyFont="1" applyFill="1" applyBorder="1" applyAlignment="1">
      <alignment horizontal="left" vertical="center"/>
    </xf>
    <xf numFmtId="0" fontId="20" fillId="0" borderId="9" xfId="7" applyNumberFormat="1" applyFont="1" applyFill="1" applyBorder="1" applyAlignment="1">
      <alignment horizontal="left" vertical="center"/>
    </xf>
    <xf numFmtId="41" fontId="20" fillId="0" borderId="8" xfId="7" applyFont="1" applyFill="1" applyBorder="1" applyAlignment="1">
      <alignment horizontal="center" vertical="center"/>
    </xf>
    <xf numFmtId="41" fontId="20" fillId="0" borderId="18" xfId="7" applyFont="1" applyFill="1" applyBorder="1" applyAlignment="1">
      <alignment horizontal="center" vertical="center"/>
    </xf>
    <xf numFmtId="41" fontId="20" fillId="0" borderId="9" xfId="7" applyFont="1" applyFill="1" applyBorder="1" applyAlignment="1">
      <alignment horizontal="center" vertical="center"/>
    </xf>
    <xf numFmtId="0" fontId="20" fillId="0" borderId="5" xfId="5" applyFont="1" applyFill="1" applyBorder="1" applyAlignment="1">
      <alignment horizontal="left" vertical="center"/>
    </xf>
    <xf numFmtId="0" fontId="20" fillId="0" borderId="5" xfId="5" applyFont="1" applyFill="1" applyBorder="1" applyAlignment="1">
      <alignment horizontal="center" vertical="center"/>
    </xf>
    <xf numFmtId="0" fontId="19" fillId="0" borderId="5" xfId="5" applyFont="1" applyFill="1" applyBorder="1" applyAlignment="1">
      <alignment horizontal="center" vertical="center"/>
    </xf>
    <xf numFmtId="0" fontId="10" fillId="0" borderId="12" xfId="5" applyNumberFormat="1" applyFont="1" applyFill="1" applyBorder="1" applyAlignment="1">
      <alignment horizontal="left"/>
    </xf>
    <xf numFmtId="0" fontId="15" fillId="0" borderId="13" xfId="5" applyNumberFormat="1" applyFont="1" applyFill="1" applyBorder="1" applyAlignment="1">
      <alignment horizontal="left" vertical="center"/>
    </xf>
    <xf numFmtId="185" fontId="13" fillId="0" borderId="15" xfId="5" applyNumberFormat="1" applyFont="1" applyFill="1" applyBorder="1" applyAlignment="1">
      <alignment horizontal="right" vertical="center"/>
    </xf>
    <xf numFmtId="0" fontId="16" fillId="0" borderId="16" xfId="5" applyNumberFormat="1" applyFont="1" applyFill="1" applyBorder="1" applyAlignment="1">
      <alignment horizontal="left" vertical="center" wrapText="1"/>
    </xf>
    <xf numFmtId="0" fontId="17" fillId="0" borderId="16" xfId="5" applyNumberFormat="1" applyFont="1" applyFill="1" applyBorder="1" applyAlignment="1">
      <alignment vertical="center"/>
    </xf>
    <xf numFmtId="0" fontId="17" fillId="0" borderId="0" xfId="5" applyNumberFormat="1" applyFont="1" applyFill="1" applyAlignment="1">
      <alignment vertical="center"/>
    </xf>
    <xf numFmtId="0" fontId="16" fillId="0" borderId="0" xfId="5" applyNumberFormat="1" applyFont="1" applyFill="1" applyAlignment="1">
      <alignment horizontal="left" vertical="center" wrapText="1"/>
    </xf>
    <xf numFmtId="0" fontId="13" fillId="0" borderId="0" xfId="5" applyNumberFormat="1" applyFont="1" applyFill="1" applyAlignment="1">
      <alignment horizontal="right" vertical="center"/>
    </xf>
    <xf numFmtId="187" fontId="18" fillId="0" borderId="0" xfId="6" applyNumberFormat="1" applyFont="1" applyFill="1" applyAlignment="1">
      <alignment horizontal="left" vertical="center" shrinkToFit="1" readingOrder="1"/>
    </xf>
    <xf numFmtId="0" fontId="20" fillId="0" borderId="18" xfId="5" applyFont="1" applyFill="1" applyBorder="1" applyAlignment="1">
      <alignment horizontal="left" vertical="center"/>
    </xf>
  </cellXfs>
  <cellStyles count="8">
    <cellStyle name="백분율" xfId="2" builtinId="5"/>
    <cellStyle name="설명 텍스트" xfId="4" builtinId="53"/>
    <cellStyle name="쉼표 [0]" xfId="3" builtinId="6"/>
    <cellStyle name="쉼표 [0] 2" xfId="7"/>
    <cellStyle name="통화 [0] 2" xfId="6"/>
    <cellStyle name="표준" xfId="0" builtinId="0"/>
    <cellStyle name="표준 2" xfId="5"/>
    <cellStyle name="하이퍼링크" xfId="1" builtinId="8"/>
  </cellStyles>
  <dxfs count="45"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80" formatCode="[$-409]h:mm\ AM/P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76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0_);[Red]\(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1032;&#47280;&#44288;&#475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1</xdr:row>
      <xdr:rowOff>142875</xdr:rowOff>
    </xdr:from>
    <xdr:to>
      <xdr:col>12</xdr:col>
      <xdr:colOff>333375</xdr:colOff>
      <xdr:row>5</xdr:row>
      <xdr:rowOff>47625</xdr:rowOff>
    </xdr:to>
    <xdr:sp macro="[0]!Sheet7.견적서저장하기" textlink="">
      <xdr:nvSpPr>
        <xdr:cNvPr id="2" name="모서리가 둥근 직사각형 1"/>
        <xdr:cNvSpPr/>
      </xdr:nvSpPr>
      <xdr:spPr>
        <a:xfrm>
          <a:off x="8867775" y="523875"/>
          <a:ext cx="2305050" cy="942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PDF</a:t>
          </a:r>
          <a:r>
            <a:rPr lang="ko-KR" altLang="en-US" sz="1100"/>
            <a:t>저장하기</a:t>
          </a:r>
        </a:p>
      </xdr:txBody>
    </xdr:sp>
    <xdr:clientData/>
  </xdr:twoCellAnchor>
  <xdr:twoCellAnchor>
    <xdr:from>
      <xdr:col>9</xdr:col>
      <xdr:colOff>114300</xdr:colOff>
      <xdr:row>6</xdr:row>
      <xdr:rowOff>76200</xdr:rowOff>
    </xdr:from>
    <xdr:to>
      <xdr:col>12</xdr:col>
      <xdr:colOff>361950</xdr:colOff>
      <xdr:row>13</xdr:row>
      <xdr:rowOff>38100</xdr:rowOff>
    </xdr:to>
    <xdr:sp macro="[0]!Sheet7.견적서저장하기" textlink="">
      <xdr:nvSpPr>
        <xdr:cNvPr id="3" name="모서리가 둥근 직사각형 2">
          <a:hlinkClick xmlns:r="http://schemas.openxmlformats.org/officeDocument/2006/relationships" r:id="rId1"/>
        </xdr:cNvPr>
        <xdr:cNvSpPr/>
      </xdr:nvSpPr>
      <xdr:spPr>
        <a:xfrm>
          <a:off x="8896350" y="1647825"/>
          <a:ext cx="2305050" cy="942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의뢰관리 시트 넘어가기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st표" displayName="test표" ref="A1:AN3" totalsRowShown="0" headerRowDxfId="44" dataDxfId="43">
  <autoFilter ref="A1:AN3"/>
  <tableColumns count="40">
    <tableColumn id="1" name="NO" dataDxfId="42">
      <calculatedColumnFormula>ROW(A2)-1</calculatedColumnFormula>
    </tableColumn>
    <tableColumn id="2" name="일자" dataDxfId="41"/>
    <tableColumn id="3" name="년도" dataDxfId="40">
      <calculatedColumnFormula>YEAR(B2)</calculatedColumnFormula>
    </tableColumn>
    <tableColumn id="4" name="월" dataDxfId="39">
      <calculatedColumnFormula>MONTH(B2)</calculatedColumnFormula>
    </tableColumn>
    <tableColumn id="37" name="주" dataDxfId="38">
      <calculatedColumnFormula>WEEKNUM(test표[[#This Row],[일자]])</calculatedColumnFormula>
    </tableColumn>
    <tableColumn id="5" name="시간" dataDxfId="37"/>
    <tableColumn id="6" name="요일" dataDxfId="36">
      <calculatedColumnFormula>TEXT(B2,"aaa")</calculatedColumnFormula>
    </tableColumn>
    <tableColumn id="7" name="경로1" dataDxfId="35"/>
    <tableColumn id="8" name="경로2" dataDxfId="34"/>
    <tableColumn id="9" name="경로3" dataDxfId="33"/>
    <tableColumn id="10" name="상담방식" dataDxfId="32"/>
    <tableColumn id="39" name="장비" dataDxfId="31"/>
    <tableColumn id="11" name="sales code" dataDxfId="30"/>
    <tableColumn id="36" name="기존분류" dataDxfId="29">
      <calculatedColumnFormula>IF(OR(test표[[#This Row],[소속]]="",test표[[#This Row],[소속]]="개인"),"신규",IFERROR(LOOKUP(2,1/($O$1:O1=test표[[#This Row],[소속]]),$B$1:B1),"신규"))</calculatedColumnFormula>
    </tableColumn>
    <tableColumn id="12" name="소속" dataDxfId="28"/>
    <tableColumn id="13" name="이름" dataDxfId="27"/>
    <tableColumn id="14" name="메일" dataDxfId="26" dataCellStyle="하이퍼링크"/>
    <tableColumn id="15" name="연락처" dataDxfId="25"/>
    <tableColumn id="16" name="분야" dataDxfId="24"/>
    <tableColumn id="17" name="아이템" dataDxfId="23"/>
    <tableColumn id="18" name="작업의뢰 내용" dataDxfId="22"/>
    <tableColumn id="19" name="견적가" dataDxfId="21" dataCellStyle="쉼표 [0]"/>
    <tableColumn id="20" name="납품마감일" dataDxfId="20" dataCellStyle="쉼표 [0]"/>
    <tableColumn id="21" name="진행단계" dataDxfId="19" dataCellStyle="쉼표 [0]"/>
    <tableColumn id="22" name="모델링" dataDxfId="18" dataCellStyle="쉼표 [0]"/>
    <tableColumn id="23" name="프린팅" dataDxfId="17" dataCellStyle="쉼표 [0]"/>
    <tableColumn id="24" name="후가공 및 도색" dataDxfId="16" dataCellStyle="쉼표 [0]"/>
    <tableColumn id="25" name="배송" dataDxfId="15" dataCellStyle="쉼표 [0]"/>
    <tableColumn id="26" name="부가세" dataDxfId="14" dataCellStyle="쉼표 [0]"/>
    <tableColumn id="27" name="외주비" dataDxfId="13" dataCellStyle="쉼표 [0]"/>
    <tableColumn id="28" name="마진" dataDxfId="12" dataCellStyle="쉼표 [0]"/>
    <tableColumn id="29" name="마진율" dataDxfId="11" dataCellStyle="백분율"/>
    <tableColumn id="30" name="홍보가부" dataDxfId="10" dataCellStyle="쉼표 [0]"/>
    <tableColumn id="31" name="향후 액션플랜" dataDxfId="9" dataCellStyle="쉼표 [0]"/>
    <tableColumn id="32" name="주소" dataDxfId="8"/>
    <tableColumn id="33" name="업태" dataDxfId="7"/>
    <tableColumn id="34" name="입금확인" dataDxfId="6"/>
    <tableColumn id="35" name="진행여부" dataDxfId="5"/>
    <tableColumn id="38" name="세금계산서" dataDxfId="4"/>
    <tableColumn id="40" name="열1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01@gmail.com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3"/>
  <sheetViews>
    <sheetView zoomScale="85" zoomScaleNormal="85" workbookViewId="0">
      <pane xSplit="21" ySplit="1" topLeftCell="V2" activePane="bottomRight" state="frozen"/>
      <selection activeCell="A13" sqref="A13"/>
      <selection pane="topRight" activeCell="M13" sqref="M13"/>
      <selection pane="bottomLeft" activeCell="A15" sqref="A15"/>
      <selection pane="bottomRight" activeCell="AK10" sqref="AK10"/>
    </sheetView>
  </sheetViews>
  <sheetFormatPr defaultRowHeight="16.5" x14ac:dyDescent="0.3"/>
  <cols>
    <col min="1" max="1" width="7.25" style="9" customWidth="1"/>
    <col min="2" max="2" width="11.875" style="2" customWidth="1"/>
    <col min="3" max="5" width="11.875" style="9" hidden="1" customWidth="1"/>
    <col min="6" max="6" width="11.125" style="8" customWidth="1"/>
    <col min="7" max="7" width="6.375" style="2" customWidth="1"/>
    <col min="8" max="8" width="6.5" style="2" customWidth="1"/>
    <col min="9" max="9" width="9" style="2" customWidth="1"/>
    <col min="10" max="10" width="6.5" style="2" customWidth="1"/>
    <col min="11" max="11" width="9.875" style="2" customWidth="1"/>
    <col min="12" max="12" width="10" style="2" bestFit="1" customWidth="1"/>
    <col min="13" max="13" width="11.75" style="3" customWidth="1"/>
    <col min="14" max="14" width="16.625" style="2" customWidth="1"/>
    <col min="15" max="15" width="16.75" style="1" customWidth="1"/>
    <col min="16" max="16" width="7.5" style="5" customWidth="1"/>
    <col min="17" max="17" width="9.125" style="2" customWidth="1"/>
    <col min="18" max="18" width="11.5" style="2" customWidth="1"/>
    <col min="19" max="19" width="11" style="1" customWidth="1"/>
    <col min="20" max="20" width="30.875" style="1" customWidth="1"/>
    <col min="21" max="21" width="16.875" style="6" customWidth="1"/>
    <col min="22" max="22" width="16.875" style="7" customWidth="1"/>
    <col min="23" max="24" width="13" style="6" hidden="1" customWidth="1"/>
    <col min="25" max="25" width="13" style="6" customWidth="1"/>
    <col min="26" max="26" width="15.75" style="6" customWidth="1"/>
    <col min="27" max="30" width="13" style="6" customWidth="1"/>
    <col min="31" max="31" width="13" style="30" customWidth="1"/>
    <col min="32" max="32" width="11.625" style="7" customWidth="1"/>
    <col min="33" max="33" width="25.25" style="6" hidden="1" customWidth="1"/>
    <col min="34" max="34" width="9" style="1" hidden="1" customWidth="1"/>
    <col min="35" max="35" width="43" style="1" hidden="1" customWidth="1"/>
    <col min="36" max="36" width="9.875" style="1" hidden="1" customWidth="1"/>
    <col min="37" max="37" width="9.875" style="1" customWidth="1"/>
    <col min="38" max="16384" width="9" style="1"/>
  </cols>
  <sheetData>
    <row r="1" spans="1:40" s="26" customFormat="1" ht="17.25" thickBot="1" x14ac:dyDescent="0.35">
      <c r="A1" s="9" t="s">
        <v>29</v>
      </c>
      <c r="B1" s="10" t="s">
        <v>12</v>
      </c>
      <c r="C1" s="11" t="s">
        <v>30</v>
      </c>
      <c r="D1" s="11" t="s">
        <v>31</v>
      </c>
      <c r="E1" s="11" t="s">
        <v>33</v>
      </c>
      <c r="F1" s="12" t="s">
        <v>28</v>
      </c>
      <c r="G1" s="13" t="s">
        <v>14</v>
      </c>
      <c r="H1" s="14" t="s">
        <v>35</v>
      </c>
      <c r="I1" s="15" t="s">
        <v>36</v>
      </c>
      <c r="J1" s="15" t="s">
        <v>34</v>
      </c>
      <c r="K1" s="16" t="s">
        <v>4</v>
      </c>
      <c r="L1" s="29" t="s">
        <v>42</v>
      </c>
      <c r="M1" s="17" t="s">
        <v>27</v>
      </c>
      <c r="N1" s="31" t="s">
        <v>32</v>
      </c>
      <c r="O1" s="10" t="s">
        <v>0</v>
      </c>
      <c r="P1" s="14" t="s">
        <v>1</v>
      </c>
      <c r="Q1" s="18" t="s">
        <v>2</v>
      </c>
      <c r="R1" s="16" t="s">
        <v>3</v>
      </c>
      <c r="S1" s="10" t="s">
        <v>6</v>
      </c>
      <c r="T1" s="14" t="s">
        <v>5</v>
      </c>
      <c r="U1" s="16" t="s">
        <v>9</v>
      </c>
      <c r="V1" s="19" t="s">
        <v>10</v>
      </c>
      <c r="W1" s="20" t="s">
        <v>11</v>
      </c>
      <c r="X1" s="20" t="s">
        <v>8</v>
      </c>
      <c r="Y1" s="21" t="s">
        <v>17</v>
      </c>
      <c r="Z1" s="21" t="s">
        <v>18</v>
      </c>
      <c r="AA1" s="21" t="s">
        <v>19</v>
      </c>
      <c r="AB1" s="21" t="s">
        <v>20</v>
      </c>
      <c r="AC1" s="21" t="s">
        <v>21</v>
      </c>
      <c r="AD1" s="21" t="s">
        <v>22</v>
      </c>
      <c r="AE1" s="21" t="s">
        <v>24</v>
      </c>
      <c r="AF1" s="22" t="s">
        <v>23</v>
      </c>
      <c r="AG1" s="23" t="s">
        <v>7</v>
      </c>
      <c r="AH1" s="23" t="s">
        <v>13</v>
      </c>
      <c r="AI1" s="24" t="s">
        <v>15</v>
      </c>
      <c r="AJ1" s="24" t="s">
        <v>16</v>
      </c>
      <c r="AK1" s="24" t="s">
        <v>25</v>
      </c>
      <c r="AL1" s="24" t="s">
        <v>26</v>
      </c>
      <c r="AM1" s="29" t="s">
        <v>37</v>
      </c>
      <c r="AN1" s="29" t="s">
        <v>43</v>
      </c>
    </row>
    <row r="2" spans="1:40" x14ac:dyDescent="0.3">
      <c r="A2" s="25">
        <f t="shared" ref="A2:A3" si="0">ROW(A2)-1</f>
        <v>1</v>
      </c>
      <c r="B2" s="3">
        <v>43843</v>
      </c>
      <c r="C2" s="9">
        <f t="shared" ref="C2:C3" si="1">YEAR(B2)</f>
        <v>2020</v>
      </c>
      <c r="D2" s="9">
        <f t="shared" ref="D2:D3" si="2">MONTH(B2)</f>
        <v>1</v>
      </c>
      <c r="E2" s="9">
        <f>WEEKNUM(test표[[#This Row],[일자]])</f>
        <v>3</v>
      </c>
      <c r="F2" s="8">
        <v>0.63194444444444442</v>
      </c>
      <c r="G2" s="2" t="str">
        <f t="shared" ref="G2:G3" si="3">TEXT(B2,"aaa")</f>
        <v>월</v>
      </c>
      <c r="N2" s="3" t="str">
        <f>IF(OR(test표[[#This Row],[소속]]="",test표[[#This Row],[소속]]="개인"),"신규",IFERROR(LOOKUP(2,1/($O$1:O1=test표[[#This Row],[소속]]),$B$1:B1),"신규"))</f>
        <v>신규</v>
      </c>
      <c r="O2" s="2" t="s">
        <v>106</v>
      </c>
      <c r="Q2" s="4"/>
      <c r="S2" s="2"/>
      <c r="V2" s="28"/>
      <c r="W2" s="28"/>
      <c r="X2" s="27"/>
      <c r="Y2" s="27"/>
      <c r="Z2" s="27"/>
      <c r="AA2" s="27"/>
      <c r="AB2" s="27"/>
      <c r="AC2" s="27"/>
      <c r="AD2" s="27"/>
      <c r="AE2" s="27"/>
      <c r="AF2" s="32"/>
      <c r="AG2" s="28"/>
      <c r="AH2" s="27"/>
    </row>
    <row r="3" spans="1:40" x14ac:dyDescent="0.3">
      <c r="A3" s="25">
        <f t="shared" si="0"/>
        <v>2</v>
      </c>
      <c r="B3" s="3">
        <v>43843</v>
      </c>
      <c r="C3" s="9">
        <f t="shared" si="1"/>
        <v>2020</v>
      </c>
      <c r="D3" s="9">
        <f t="shared" si="2"/>
        <v>1</v>
      </c>
      <c r="E3" s="9">
        <f>WEEKNUM(test표[[#This Row],[일자]])</f>
        <v>3</v>
      </c>
      <c r="F3" s="8">
        <v>0.71944444444444444</v>
      </c>
      <c r="G3" s="2" t="str">
        <f t="shared" si="3"/>
        <v>월</v>
      </c>
      <c r="L3" s="2" t="s">
        <v>38</v>
      </c>
      <c r="N3" s="3" t="str">
        <f>IF(OR(test표[[#This Row],[소속]]="",test표[[#This Row],[소속]]="개인"),"신규",IFERROR(LOOKUP(2,1/($O$1:O2=test표[[#This Row],[소속]]),$B$1:B2),"신규"))</f>
        <v>신규</v>
      </c>
      <c r="O3" s="2" t="s">
        <v>107</v>
      </c>
      <c r="P3" s="5" t="s">
        <v>109</v>
      </c>
      <c r="Q3" s="4" t="s">
        <v>113</v>
      </c>
      <c r="S3" s="2" t="s">
        <v>108</v>
      </c>
      <c r="T3" s="1" t="s">
        <v>110</v>
      </c>
      <c r="U3" s="6" t="s">
        <v>111</v>
      </c>
      <c r="V3" s="28"/>
      <c r="W3" s="28"/>
      <c r="X3" s="27"/>
      <c r="Y3" s="27"/>
      <c r="Z3" s="27"/>
      <c r="AA3" s="27"/>
      <c r="AB3" s="27"/>
      <c r="AC3" s="27"/>
      <c r="AD3" s="27"/>
      <c r="AE3" s="27"/>
      <c r="AF3" s="32"/>
      <c r="AG3" s="28"/>
      <c r="AH3" s="27"/>
    </row>
  </sheetData>
  <phoneticPr fontId="1" type="noConversion"/>
  <conditionalFormatting sqref="P1:P1048576">
    <cfRule type="duplicateValues" dxfId="2" priority="5"/>
  </conditionalFormatting>
  <conditionalFormatting sqref="O1:O1048576">
    <cfRule type="duplicateValues" dxfId="1" priority="6"/>
  </conditionalFormatting>
  <conditionalFormatting sqref="R1:R1048576">
    <cfRule type="duplicateValues" dxfId="0" priority="7"/>
  </conditionalFormatting>
  <hyperlinks>
    <hyperlink ref="Q3" r:id="rId1"/>
  </hyperlinks>
  <pageMargins left="0.7" right="0.7" top="0.75" bottom="0.75" header="0.3" footer="0.3"/>
  <pageSetup paperSize="9" orientation="portrait"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Sheet1!$B$1:$D$1</xm:f>
          </x14:formula1>
          <xm:sqref>L1:L1048576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67"/>
  <sheetViews>
    <sheetView tabSelected="1" view="pageBreakPreview" zoomScaleNormal="100" zoomScaleSheetLayoutView="100" workbookViewId="0">
      <selection activeCell="K22" sqref="K22"/>
    </sheetView>
  </sheetViews>
  <sheetFormatPr defaultRowHeight="13.5" x14ac:dyDescent="0.3"/>
  <cols>
    <col min="1" max="1" width="10.75" style="72" customWidth="1"/>
    <col min="2" max="2" width="30" style="53" customWidth="1"/>
    <col min="3" max="3" width="9" style="53" customWidth="1"/>
    <col min="4" max="4" width="11.125" style="53" customWidth="1"/>
    <col min="5" max="5" width="10.75" style="53" customWidth="1"/>
    <col min="6" max="6" width="10.5" style="53" bestFit="1" customWidth="1"/>
    <col min="7" max="7" width="11.625" style="53" customWidth="1"/>
    <col min="8" max="8" width="12.5" style="53" customWidth="1"/>
    <col min="9" max="16384" width="9" style="53"/>
  </cols>
  <sheetData>
    <row r="1" spans="1:40" s="34" customFormat="1" ht="30" customHeight="1" thickBot="1" x14ac:dyDescent="0.3">
      <c r="A1" s="111" t="s">
        <v>44</v>
      </c>
      <c r="B1" s="111"/>
      <c r="C1" s="111"/>
      <c r="D1" s="111"/>
      <c r="E1" s="111"/>
      <c r="F1" s="111"/>
      <c r="G1" s="111"/>
      <c r="H1" s="33"/>
      <c r="I1" s="34" t="s">
        <v>45</v>
      </c>
      <c r="J1" s="34">
        <v>2</v>
      </c>
    </row>
    <row r="2" spans="1:40" s="37" customFormat="1" ht="24.95" customHeight="1" thickBot="1" x14ac:dyDescent="0.35">
      <c r="A2" s="112"/>
      <c r="B2" s="112"/>
      <c r="C2" s="112"/>
      <c r="D2" s="35"/>
      <c r="E2" s="36"/>
      <c r="F2" s="112" t="s">
        <v>46</v>
      </c>
      <c r="G2" s="112"/>
      <c r="H2" s="112"/>
    </row>
    <row r="3" spans="1:40" s="37" customFormat="1" ht="20.100000000000001" customHeight="1" thickTop="1" x14ac:dyDescent="0.3">
      <c r="A3" s="113" t="str">
        <f>IF(OR(INDEX(의뢰관리!$A:$Z,MATCH(J1,의뢰관리!$A:$A,0),15)="",INDEX(의뢰관리!$A:$O,MATCH(J1,의뢰관리!$A:$A,0),15)="개인"),INDEX(의뢰관리!$A:$Z,MATCH(J1,의뢰관리!$A:$A,0),16),INDEX(의뢰관리!$A:$Z,MATCH(J1,의뢰관리!$A:$A,0),15))</f>
        <v>우수정밀</v>
      </c>
      <c r="B3" s="113"/>
      <c r="C3" s="113"/>
      <c r="D3" s="38"/>
      <c r="E3" s="36"/>
      <c r="F3" s="114" t="s">
        <v>47</v>
      </c>
      <c r="G3" s="115"/>
      <c r="H3" s="115"/>
    </row>
    <row r="4" spans="1:40" s="37" customFormat="1" ht="12" customHeight="1" x14ac:dyDescent="0.3">
      <c r="A4" s="39"/>
      <c r="B4" s="40"/>
      <c r="C4" s="40"/>
      <c r="D4" s="40"/>
      <c r="E4" s="36"/>
      <c r="F4" s="116"/>
      <c r="G4" s="116"/>
      <c r="H4" s="116"/>
    </row>
    <row r="5" spans="1:40" s="37" customFormat="1" ht="25.9" customHeight="1" x14ac:dyDescent="0.3">
      <c r="A5" s="117" t="s">
        <v>48</v>
      </c>
      <c r="B5" s="117"/>
      <c r="C5" s="117"/>
      <c r="D5" s="36"/>
      <c r="E5" s="36"/>
      <c r="F5" s="116"/>
      <c r="G5" s="116"/>
      <c r="H5" s="116"/>
    </row>
    <row r="6" spans="1:40" s="37" customFormat="1" ht="12" x14ac:dyDescent="0.3">
      <c r="A6" s="117"/>
      <c r="B6" s="117"/>
      <c r="C6" s="117"/>
      <c r="D6" s="36"/>
      <c r="E6" s="36"/>
      <c r="F6" s="118" t="s">
        <v>49</v>
      </c>
      <c r="G6" s="118"/>
      <c r="H6" s="118"/>
    </row>
    <row r="7" spans="1:40" s="37" customFormat="1" ht="12" x14ac:dyDescent="0.3">
      <c r="A7" s="117"/>
      <c r="B7" s="117"/>
      <c r="C7" s="117"/>
      <c r="D7" s="36"/>
      <c r="E7" s="36"/>
      <c r="F7" s="118"/>
      <c r="G7" s="118"/>
      <c r="H7" s="118"/>
    </row>
    <row r="8" spans="1:40" s="37" customFormat="1" ht="5.25" customHeight="1" x14ac:dyDescent="0.3">
      <c r="A8" s="41"/>
      <c r="B8" s="42"/>
      <c r="C8" s="42"/>
      <c r="D8" s="42"/>
      <c r="E8" s="42"/>
      <c r="F8" s="42"/>
      <c r="G8" s="42"/>
      <c r="H8" s="42"/>
    </row>
    <row r="9" spans="1:40" s="37" customFormat="1" ht="12" x14ac:dyDescent="0.3">
      <c r="A9" s="43"/>
      <c r="B9" s="36"/>
      <c r="C9" s="36"/>
      <c r="D9" s="36"/>
      <c r="E9" s="36"/>
      <c r="F9" s="36"/>
      <c r="G9" s="36"/>
      <c r="H9" s="36"/>
    </row>
    <row r="10" spans="1:40" s="37" customFormat="1" ht="12" x14ac:dyDescent="0.3">
      <c r="A10" s="44" t="s">
        <v>50</v>
      </c>
      <c r="B10" s="45" t="str">
        <f>INDEX(의뢰관리!$A:$Z,MATCH(J1,의뢰관리!$A:$A,0),20)</f>
        <v>slsbio_1차수정안</v>
      </c>
      <c r="C10" s="36"/>
      <c r="D10" s="36"/>
      <c r="E10" s="36"/>
      <c r="F10" s="36"/>
      <c r="G10" s="36"/>
      <c r="H10" s="36"/>
    </row>
    <row r="11" spans="1:40" s="37" customFormat="1" ht="12" x14ac:dyDescent="0.3">
      <c r="A11" s="44"/>
      <c r="B11" s="46"/>
      <c r="C11" s="36"/>
      <c r="D11" s="36"/>
      <c r="E11" s="36"/>
      <c r="F11" s="36"/>
      <c r="G11" s="36"/>
      <c r="H11" s="36"/>
      <c r="AN11" s="37" t="s">
        <v>105</v>
      </c>
    </row>
    <row r="12" spans="1:40" s="37" customFormat="1" ht="12" x14ac:dyDescent="0.3">
      <c r="A12" s="44" t="s">
        <v>51</v>
      </c>
      <c r="B12" s="47">
        <f>H52</f>
        <v>1467400</v>
      </c>
      <c r="C12" s="119">
        <f>B12</f>
        <v>1467400</v>
      </c>
      <c r="D12" s="119"/>
      <c r="E12" s="119"/>
      <c r="F12" s="46"/>
      <c r="G12" s="36"/>
      <c r="H12" s="48"/>
    </row>
    <row r="13" spans="1:40" s="37" customFormat="1" ht="12" x14ac:dyDescent="0.3">
      <c r="A13" s="49"/>
      <c r="B13" s="50"/>
      <c r="C13" s="36"/>
      <c r="D13" s="36"/>
      <c r="E13" s="36"/>
      <c r="F13" s="36"/>
      <c r="G13" s="36"/>
      <c r="H13" s="36"/>
    </row>
    <row r="14" spans="1:40" s="37" customFormat="1" ht="16.5" x14ac:dyDescent="0.3">
      <c r="A14" s="44" t="s">
        <v>52</v>
      </c>
      <c r="B14" s="36"/>
      <c r="C14" s="36"/>
      <c r="D14" s="36"/>
      <c r="E14" s="36"/>
      <c r="F14" s="36"/>
      <c r="G14" s="36"/>
      <c r="H14" s="36" t="s">
        <v>53</v>
      </c>
      <c r="N14" s="51"/>
    </row>
    <row r="15" spans="1:40" x14ac:dyDescent="0.3">
      <c r="A15" s="52" t="s">
        <v>54</v>
      </c>
      <c r="B15" s="110" t="s">
        <v>55</v>
      </c>
      <c r="C15" s="110"/>
      <c r="D15" s="110"/>
      <c r="E15" s="110"/>
      <c r="F15" s="110"/>
      <c r="G15" s="110"/>
      <c r="H15" s="52" t="s">
        <v>56</v>
      </c>
    </row>
    <row r="16" spans="1:40" x14ac:dyDescent="0.3">
      <c r="A16" s="54">
        <v>1</v>
      </c>
      <c r="B16" s="85" t="str">
        <f>B10 &amp; " 제작"</f>
        <v>slsbio_1차수정안 제작</v>
      </c>
      <c r="C16" s="120"/>
      <c r="D16" s="120"/>
      <c r="E16" s="120"/>
      <c r="F16" s="120"/>
      <c r="G16" s="86"/>
      <c r="H16" s="55" t="s">
        <v>104</v>
      </c>
    </row>
    <row r="17" spans="1:9" x14ac:dyDescent="0.3">
      <c r="A17" s="54">
        <v>2</v>
      </c>
      <c r="B17" s="85"/>
      <c r="C17" s="120"/>
      <c r="D17" s="120"/>
      <c r="E17" s="120"/>
      <c r="F17" s="120"/>
      <c r="G17" s="86"/>
      <c r="H17" s="55"/>
    </row>
    <row r="18" spans="1:9" x14ac:dyDescent="0.3">
      <c r="A18" s="56"/>
      <c r="B18" s="57"/>
      <c r="C18" s="57"/>
      <c r="D18" s="57"/>
      <c r="E18" s="57"/>
      <c r="F18" s="57"/>
      <c r="G18" s="57"/>
      <c r="H18" s="57"/>
      <c r="I18" s="58"/>
    </row>
    <row r="19" spans="1:9" x14ac:dyDescent="0.3">
      <c r="A19" s="59" t="s">
        <v>57</v>
      </c>
      <c r="B19" s="57"/>
      <c r="C19" s="57"/>
      <c r="D19" s="57"/>
      <c r="E19" s="57"/>
      <c r="F19" s="60"/>
      <c r="G19" s="60"/>
      <c r="H19" s="57"/>
      <c r="I19" s="58"/>
    </row>
    <row r="20" spans="1:9" x14ac:dyDescent="0.3">
      <c r="A20" s="52" t="s">
        <v>54</v>
      </c>
      <c r="B20" s="110" t="s">
        <v>58</v>
      </c>
      <c r="C20" s="110"/>
      <c r="D20" s="110"/>
      <c r="E20" s="52" t="s">
        <v>59</v>
      </c>
      <c r="F20" s="52" t="s">
        <v>60</v>
      </c>
      <c r="G20" s="52" t="s">
        <v>61</v>
      </c>
      <c r="H20" s="52" t="s">
        <v>62</v>
      </c>
      <c r="I20" s="58"/>
    </row>
    <row r="21" spans="1:9" x14ac:dyDescent="0.3">
      <c r="A21" s="54">
        <v>1</v>
      </c>
      <c r="B21" s="108"/>
      <c r="C21" s="108"/>
      <c r="D21" s="108"/>
      <c r="E21" s="54"/>
      <c r="F21" s="54"/>
      <c r="G21" s="61"/>
      <c r="H21" s="61">
        <f>G21*F21</f>
        <v>0</v>
      </c>
      <c r="I21" s="58"/>
    </row>
    <row r="22" spans="1:9" x14ac:dyDescent="0.3">
      <c r="A22" s="54">
        <v>2</v>
      </c>
      <c r="B22" s="108"/>
      <c r="C22" s="108"/>
      <c r="D22" s="108"/>
      <c r="E22" s="54"/>
      <c r="F22" s="54"/>
      <c r="G22" s="61"/>
      <c r="H22" s="61">
        <f>G22</f>
        <v>0</v>
      </c>
      <c r="I22" s="58"/>
    </row>
    <row r="23" spans="1:9" x14ac:dyDescent="0.3">
      <c r="A23" s="109" t="s">
        <v>63</v>
      </c>
      <c r="B23" s="109"/>
      <c r="C23" s="109"/>
      <c r="D23" s="109"/>
      <c r="E23" s="109"/>
      <c r="F23" s="109"/>
      <c r="G23" s="109"/>
      <c r="H23" s="61">
        <f>H21+H22</f>
        <v>0</v>
      </c>
      <c r="I23" s="58"/>
    </row>
    <row r="24" spans="1:9" x14ac:dyDescent="0.3">
      <c r="A24" s="56"/>
      <c r="B24" s="57"/>
      <c r="C24" s="57"/>
      <c r="D24" s="57"/>
      <c r="E24" s="57"/>
      <c r="F24" s="57"/>
      <c r="G24" s="57"/>
      <c r="H24" s="57"/>
      <c r="I24" s="58"/>
    </row>
    <row r="25" spans="1:9" x14ac:dyDescent="0.3">
      <c r="A25" s="59" t="s">
        <v>64</v>
      </c>
      <c r="B25" s="57"/>
      <c r="C25" s="57"/>
      <c r="D25" s="57"/>
      <c r="E25" s="57"/>
      <c r="F25" s="57"/>
      <c r="G25" s="57"/>
      <c r="H25" s="57"/>
      <c r="I25" s="58"/>
    </row>
    <row r="26" spans="1:9" x14ac:dyDescent="0.3">
      <c r="A26" s="110" t="s">
        <v>65</v>
      </c>
      <c r="B26" s="93" t="s">
        <v>58</v>
      </c>
      <c r="C26" s="91" t="s">
        <v>66</v>
      </c>
      <c r="D26" s="92"/>
      <c r="E26" s="91" t="s">
        <v>67</v>
      </c>
      <c r="F26" s="101"/>
      <c r="G26" s="92"/>
      <c r="H26" s="93" t="s">
        <v>68</v>
      </c>
      <c r="I26" s="58"/>
    </row>
    <row r="27" spans="1:9" x14ac:dyDescent="0.3">
      <c r="A27" s="110"/>
      <c r="B27" s="94"/>
      <c r="C27" s="52" t="s">
        <v>69</v>
      </c>
      <c r="D27" s="52" t="s">
        <v>68</v>
      </c>
      <c r="E27" s="52" t="s">
        <v>70</v>
      </c>
      <c r="F27" s="52" t="s">
        <v>71</v>
      </c>
      <c r="G27" s="52" t="s">
        <v>68</v>
      </c>
      <c r="H27" s="94"/>
      <c r="I27" s="58"/>
    </row>
    <row r="28" spans="1:9" x14ac:dyDescent="0.3">
      <c r="A28" s="54">
        <v>1</v>
      </c>
      <c r="B28" s="62" t="s">
        <v>112</v>
      </c>
      <c r="C28" s="95">
        <v>21</v>
      </c>
      <c r="D28" s="97">
        <f>C28*H35</f>
        <v>630000</v>
      </c>
      <c r="E28" s="54">
        <v>10</v>
      </c>
      <c r="F28" s="63">
        <v>100</v>
      </c>
      <c r="G28" s="61">
        <f>E28*F28*$H$34</f>
        <v>700000</v>
      </c>
      <c r="H28" s="99">
        <f>D28+SUM(G28:G31)</f>
        <v>1330000</v>
      </c>
      <c r="I28" s="58"/>
    </row>
    <row r="29" spans="1:9" x14ac:dyDescent="0.3">
      <c r="A29" s="54">
        <v>2</v>
      </c>
      <c r="B29" s="62"/>
      <c r="C29" s="96"/>
      <c r="D29" s="98"/>
      <c r="E29" s="54"/>
      <c r="F29" s="63"/>
      <c r="G29" s="61">
        <f>E29*F29*$H$34</f>
        <v>0</v>
      </c>
      <c r="H29" s="100"/>
      <c r="I29" s="58"/>
    </row>
    <row r="30" spans="1:9" x14ac:dyDescent="0.3">
      <c r="A30" s="54">
        <v>3</v>
      </c>
      <c r="B30" s="62"/>
      <c r="C30" s="96"/>
      <c r="D30" s="98"/>
      <c r="E30" s="54"/>
      <c r="F30" s="63"/>
      <c r="G30" s="61">
        <f>E30*F30*$H$34</f>
        <v>0</v>
      </c>
      <c r="H30" s="100"/>
      <c r="I30" s="58"/>
    </row>
    <row r="31" spans="1:9" x14ac:dyDescent="0.3">
      <c r="A31" s="54">
        <v>4</v>
      </c>
      <c r="B31" s="62"/>
      <c r="C31" s="96"/>
      <c r="D31" s="98"/>
      <c r="E31" s="54"/>
      <c r="F31" s="63"/>
      <c r="G31" s="61">
        <f>E31*F31*$H$34</f>
        <v>0</v>
      </c>
      <c r="H31" s="100"/>
      <c r="I31" s="58"/>
    </row>
    <row r="32" spans="1:9" x14ac:dyDescent="0.3">
      <c r="A32" s="87" t="s">
        <v>63</v>
      </c>
      <c r="B32" s="88"/>
      <c r="C32" s="88"/>
      <c r="D32" s="88"/>
      <c r="E32" s="88"/>
      <c r="F32" s="88"/>
      <c r="G32" s="89"/>
      <c r="H32" s="64">
        <f>H28</f>
        <v>1330000</v>
      </c>
      <c r="I32" s="58"/>
    </row>
    <row r="33" spans="1:9" x14ac:dyDescent="0.3">
      <c r="A33" s="65"/>
      <c r="B33" s="57"/>
      <c r="C33" s="57"/>
      <c r="D33" s="57"/>
      <c r="E33" s="57"/>
      <c r="F33" s="66"/>
      <c r="G33" s="67" t="s">
        <v>72</v>
      </c>
      <c r="H33" s="67" t="s">
        <v>73</v>
      </c>
      <c r="I33" s="58"/>
    </row>
    <row r="34" spans="1:9" x14ac:dyDescent="0.3">
      <c r="A34" s="65"/>
      <c r="B34" s="57"/>
      <c r="C34" s="57"/>
      <c r="D34" s="57"/>
      <c r="E34" s="57"/>
      <c r="F34" s="67" t="s">
        <v>74</v>
      </c>
      <c r="G34" s="66" t="str">
        <f>IF(G35="SLA","ABS like",IF(G35="SLS","PA12",IF(G35="SLA(clear)","clear","error")))</f>
        <v>ABS like</v>
      </c>
      <c r="H34" s="68">
        <f>IF($G$34="PA12",1000,IF($G$34="ABS like",700,IF(G34="clear",700,0)))</f>
        <v>700</v>
      </c>
      <c r="I34" s="58"/>
    </row>
    <row r="35" spans="1:9" x14ac:dyDescent="0.3">
      <c r="A35" s="65"/>
      <c r="B35" s="57"/>
      <c r="C35" s="57"/>
      <c r="D35" s="57"/>
      <c r="E35" s="57"/>
      <c r="F35" s="67" t="s">
        <v>75</v>
      </c>
      <c r="G35" s="66" t="str">
        <f>INDEX(의뢰관리!$A:$Z,MATCH(J1,의뢰관리!$A:$A,0),12)</f>
        <v>SLA</v>
      </c>
      <c r="H35" s="69">
        <f>IF(G35="SLA",30000,IF(G35="SLS",50000,IF(G35="SLA(clear)",50000,0)))</f>
        <v>30000</v>
      </c>
      <c r="I35" s="58"/>
    </row>
    <row r="36" spans="1:9" x14ac:dyDescent="0.3">
      <c r="A36" s="56"/>
      <c r="B36" s="57"/>
      <c r="C36" s="57"/>
      <c r="D36" s="57"/>
      <c r="E36" s="57"/>
      <c r="I36" s="58"/>
    </row>
    <row r="37" spans="1:9" x14ac:dyDescent="0.3">
      <c r="A37" s="59" t="s">
        <v>76</v>
      </c>
      <c r="B37" s="57"/>
      <c r="C37" s="57"/>
      <c r="D37" s="57"/>
      <c r="E37" s="57"/>
      <c r="F37" s="57"/>
      <c r="G37" s="57"/>
      <c r="H37" s="57"/>
      <c r="I37" s="58"/>
    </row>
    <row r="38" spans="1:9" x14ac:dyDescent="0.3">
      <c r="A38" s="70" t="s">
        <v>54</v>
      </c>
      <c r="B38" s="91" t="s">
        <v>58</v>
      </c>
      <c r="C38" s="101"/>
      <c r="D38" s="101"/>
      <c r="E38" s="92"/>
      <c r="F38" s="52" t="s">
        <v>71</v>
      </c>
      <c r="G38" s="52" t="s">
        <v>77</v>
      </c>
      <c r="H38" s="52" t="s">
        <v>78</v>
      </c>
      <c r="I38" s="58"/>
    </row>
    <row r="39" spans="1:9" s="72" customFormat="1" x14ac:dyDescent="0.3">
      <c r="A39" s="54">
        <v>1</v>
      </c>
      <c r="B39" s="102"/>
      <c r="C39" s="103"/>
      <c r="D39" s="103"/>
      <c r="E39" s="104"/>
      <c r="F39" s="54"/>
      <c r="G39" s="61"/>
      <c r="H39" s="61">
        <f>G39*F39</f>
        <v>0</v>
      </c>
      <c r="I39" s="71"/>
    </row>
    <row r="40" spans="1:9" x14ac:dyDescent="0.3">
      <c r="A40" s="105" t="s">
        <v>63</v>
      </c>
      <c r="B40" s="106"/>
      <c r="C40" s="106"/>
      <c r="D40" s="106"/>
      <c r="E40" s="106"/>
      <c r="F40" s="106"/>
      <c r="G40" s="107"/>
      <c r="H40" s="61">
        <f>H39</f>
        <v>0</v>
      </c>
      <c r="I40" s="58"/>
    </row>
    <row r="41" spans="1:9" x14ac:dyDescent="0.3">
      <c r="A41" s="73"/>
      <c r="B41" s="73"/>
      <c r="C41" s="73"/>
      <c r="D41" s="73"/>
      <c r="E41" s="73"/>
      <c r="F41" s="73"/>
      <c r="G41" s="66"/>
      <c r="H41" s="66"/>
      <c r="I41" s="58"/>
    </row>
    <row r="42" spans="1:9" x14ac:dyDescent="0.3">
      <c r="A42" s="59" t="s">
        <v>79</v>
      </c>
      <c r="B42" s="57"/>
      <c r="C42" s="57"/>
      <c r="D42" s="57"/>
      <c r="E42" s="57"/>
      <c r="F42" s="57"/>
      <c r="G42" s="57"/>
      <c r="H42" s="57"/>
      <c r="I42" s="58"/>
    </row>
    <row r="43" spans="1:9" x14ac:dyDescent="0.3">
      <c r="A43" s="70" t="s">
        <v>54</v>
      </c>
      <c r="B43" s="91" t="s">
        <v>58</v>
      </c>
      <c r="C43" s="101"/>
      <c r="D43" s="101"/>
      <c r="E43" s="92"/>
      <c r="F43" s="52" t="s">
        <v>80</v>
      </c>
      <c r="G43" s="52" t="s">
        <v>73</v>
      </c>
      <c r="H43" s="52" t="s">
        <v>81</v>
      </c>
      <c r="I43" s="58"/>
    </row>
    <row r="44" spans="1:9" x14ac:dyDescent="0.3">
      <c r="A44" s="54">
        <v>1</v>
      </c>
      <c r="B44" s="102" t="str">
        <f>B10</f>
        <v>slsbio_1차수정안</v>
      </c>
      <c r="C44" s="103"/>
      <c r="D44" s="103"/>
      <c r="E44" s="104"/>
      <c r="F44" s="54">
        <v>1</v>
      </c>
      <c r="G44" s="61">
        <v>4000</v>
      </c>
      <c r="H44" s="61">
        <f>G44*F44</f>
        <v>4000</v>
      </c>
      <c r="I44" s="58"/>
    </row>
    <row r="45" spans="1:9" x14ac:dyDescent="0.3">
      <c r="A45" s="105" t="s">
        <v>82</v>
      </c>
      <c r="B45" s="106"/>
      <c r="C45" s="106"/>
      <c r="D45" s="106"/>
      <c r="E45" s="106"/>
      <c r="F45" s="106"/>
      <c r="G45" s="107"/>
      <c r="H45" s="61">
        <f>H44</f>
        <v>4000</v>
      </c>
      <c r="I45" s="58"/>
    </row>
    <row r="46" spans="1:9" x14ac:dyDescent="0.3">
      <c r="A46" s="73"/>
      <c r="B46" s="73"/>
      <c r="C46" s="73"/>
      <c r="D46" s="73"/>
      <c r="E46" s="73"/>
      <c r="F46" s="73"/>
      <c r="G46" s="73"/>
      <c r="H46" s="74"/>
      <c r="I46" s="58"/>
    </row>
    <row r="47" spans="1:9" x14ac:dyDescent="0.3">
      <c r="A47" s="59" t="s">
        <v>83</v>
      </c>
      <c r="B47" s="57"/>
      <c r="C47" s="57"/>
      <c r="D47" s="57"/>
      <c r="E47" s="57"/>
      <c r="F47" s="57"/>
      <c r="G47" s="57"/>
      <c r="H47" s="57"/>
      <c r="I47" s="58"/>
    </row>
    <row r="48" spans="1:9" s="75" customFormat="1" ht="12" x14ac:dyDescent="0.3">
      <c r="A48" s="52" t="s">
        <v>84</v>
      </c>
      <c r="B48" s="91" t="s">
        <v>85</v>
      </c>
      <c r="C48" s="92"/>
      <c r="D48" s="52" t="s">
        <v>86</v>
      </c>
      <c r="E48" s="52" t="s">
        <v>87</v>
      </c>
      <c r="F48" s="52" t="s">
        <v>88</v>
      </c>
      <c r="G48" s="52" t="s">
        <v>89</v>
      </c>
      <c r="H48" s="52" t="s">
        <v>90</v>
      </c>
    </row>
    <row r="49" spans="1:9" s="79" customFormat="1" ht="11.25" x14ac:dyDescent="0.3">
      <c r="A49" s="54">
        <v>1</v>
      </c>
      <c r="B49" s="85" t="str">
        <f>B10&amp;" 제작"</f>
        <v>slsbio_1차수정안 제작</v>
      </c>
      <c r="C49" s="86"/>
      <c r="D49" s="76">
        <f>H23</f>
        <v>0</v>
      </c>
      <c r="E49" s="76">
        <f>H32</f>
        <v>1330000</v>
      </c>
      <c r="F49" s="77">
        <f>H40</f>
        <v>0</v>
      </c>
      <c r="G49" s="77">
        <f>H45</f>
        <v>4000</v>
      </c>
      <c r="H49" s="78">
        <f>D49+E49+F49+G49</f>
        <v>1334000</v>
      </c>
    </row>
    <row r="50" spans="1:9" s="79" customFormat="1" ht="11.25" x14ac:dyDescent="0.3">
      <c r="A50" s="87" t="s">
        <v>91</v>
      </c>
      <c r="B50" s="88"/>
      <c r="C50" s="88"/>
      <c r="D50" s="88"/>
      <c r="E50" s="88"/>
      <c r="F50" s="88"/>
      <c r="G50" s="89"/>
      <c r="H50" s="78">
        <f>H49</f>
        <v>1334000</v>
      </c>
    </row>
    <row r="51" spans="1:9" s="58" customFormat="1" ht="11.25" x14ac:dyDescent="0.3">
      <c r="A51" s="87" t="s">
        <v>92</v>
      </c>
      <c r="B51" s="88"/>
      <c r="C51" s="88"/>
      <c r="D51" s="88"/>
      <c r="E51" s="88"/>
      <c r="F51" s="88"/>
      <c r="G51" s="89"/>
      <c r="H51" s="78">
        <f>H50*0.1</f>
        <v>133400</v>
      </c>
    </row>
    <row r="52" spans="1:9" s="58" customFormat="1" ht="11.25" x14ac:dyDescent="0.3">
      <c r="A52" s="87" t="s">
        <v>93</v>
      </c>
      <c r="B52" s="88"/>
      <c r="C52" s="88"/>
      <c r="D52" s="88"/>
      <c r="E52" s="88"/>
      <c r="F52" s="88"/>
      <c r="G52" s="89"/>
      <c r="H52" s="78">
        <f>H50+H51</f>
        <v>1467400</v>
      </c>
    </row>
    <row r="53" spans="1:9" s="58" customFormat="1" ht="11.25" x14ac:dyDescent="0.3">
      <c r="A53" s="56"/>
      <c r="B53" s="57"/>
      <c r="C53" s="80"/>
      <c r="D53" s="57"/>
      <c r="E53" s="57"/>
      <c r="F53" s="57"/>
      <c r="G53" s="57"/>
      <c r="H53" s="57"/>
    </row>
    <row r="54" spans="1:9" s="58" customFormat="1" x14ac:dyDescent="0.3">
      <c r="A54" s="57"/>
      <c r="B54" s="81" t="s">
        <v>94</v>
      </c>
      <c r="C54" s="57"/>
      <c r="D54" s="57"/>
      <c r="E54" s="57"/>
      <c r="F54" s="57"/>
      <c r="G54" s="57"/>
      <c r="H54" s="57"/>
    </row>
    <row r="55" spans="1:9" s="58" customFormat="1" x14ac:dyDescent="0.3">
      <c r="A55" s="56"/>
      <c r="B55" s="60" t="s">
        <v>95</v>
      </c>
      <c r="C55" s="57"/>
      <c r="D55" s="57"/>
      <c r="E55" s="57"/>
      <c r="F55" s="57"/>
      <c r="G55" s="57"/>
      <c r="H55" s="57"/>
    </row>
    <row r="56" spans="1:9" s="58" customFormat="1" x14ac:dyDescent="0.3">
      <c r="A56" s="56"/>
      <c r="B56" s="60"/>
      <c r="C56" s="57"/>
      <c r="D56" s="57"/>
      <c r="E56" s="57"/>
      <c r="F56" s="57"/>
      <c r="G56" s="57"/>
      <c r="H56" s="57"/>
    </row>
    <row r="57" spans="1:9" s="58" customFormat="1" x14ac:dyDescent="0.3">
      <c r="A57" s="56"/>
      <c r="B57" s="60" t="s">
        <v>96</v>
      </c>
      <c r="C57" s="57"/>
      <c r="D57" s="57"/>
      <c r="E57" s="57"/>
      <c r="F57" s="57"/>
      <c r="G57" s="57"/>
      <c r="H57" s="57"/>
    </row>
    <row r="58" spans="1:9" s="58" customFormat="1" x14ac:dyDescent="0.3">
      <c r="A58" s="56"/>
      <c r="B58" s="60" t="s">
        <v>97</v>
      </c>
      <c r="C58" s="57"/>
      <c r="D58" s="57"/>
      <c r="E58" s="57"/>
      <c r="F58" s="57"/>
      <c r="G58" s="57"/>
      <c r="H58" s="57"/>
    </row>
    <row r="59" spans="1:9" s="58" customFormat="1" x14ac:dyDescent="0.3">
      <c r="A59" s="56"/>
      <c r="B59" s="60"/>
      <c r="C59" s="57"/>
      <c r="D59" s="57"/>
      <c r="E59" s="57"/>
      <c r="F59" s="57"/>
      <c r="G59" s="57"/>
      <c r="H59" s="57"/>
    </row>
    <row r="60" spans="1:9" x14ac:dyDescent="0.3">
      <c r="A60" s="56"/>
      <c r="B60" s="60" t="s">
        <v>98</v>
      </c>
      <c r="C60" s="57"/>
      <c r="D60" s="57"/>
      <c r="E60" s="57"/>
      <c r="F60" s="57"/>
      <c r="G60" s="57"/>
      <c r="H60" s="57"/>
      <c r="I60" s="58"/>
    </row>
    <row r="61" spans="1:9" x14ac:dyDescent="0.3">
      <c r="A61" s="82"/>
      <c r="B61" s="60" t="s">
        <v>99</v>
      </c>
      <c r="C61" s="60"/>
      <c r="D61" s="60"/>
      <c r="E61" s="60"/>
      <c r="F61" s="60"/>
      <c r="G61" s="60"/>
      <c r="H61" s="60"/>
    </row>
    <row r="62" spans="1:9" x14ac:dyDescent="0.3">
      <c r="A62" s="82"/>
      <c r="B62" s="60"/>
      <c r="C62" s="60"/>
      <c r="D62" s="60"/>
      <c r="E62" s="60"/>
      <c r="F62" s="60"/>
      <c r="G62" s="60"/>
      <c r="H62" s="60"/>
    </row>
    <row r="63" spans="1:9" x14ac:dyDescent="0.3">
      <c r="A63" s="82"/>
      <c r="B63" s="60" t="s">
        <v>100</v>
      </c>
      <c r="C63" s="60"/>
      <c r="D63" s="60"/>
      <c r="E63" s="60"/>
      <c r="F63" s="60"/>
      <c r="G63" s="60"/>
      <c r="H63" s="60"/>
    </row>
    <row r="64" spans="1:9" x14ac:dyDescent="0.3">
      <c r="A64" s="82"/>
      <c r="B64" s="60" t="s">
        <v>101</v>
      </c>
      <c r="C64" s="60"/>
      <c r="D64" s="60"/>
      <c r="E64" s="60"/>
      <c r="F64" s="60"/>
      <c r="G64" s="60"/>
      <c r="H64" s="60"/>
    </row>
    <row r="65" spans="1:8" x14ac:dyDescent="0.3">
      <c r="A65" s="82"/>
      <c r="B65" s="60"/>
      <c r="C65" s="60"/>
      <c r="D65" s="60"/>
      <c r="E65" s="60"/>
      <c r="F65" s="60"/>
      <c r="G65" s="60"/>
      <c r="H65" s="60"/>
    </row>
    <row r="66" spans="1:8" x14ac:dyDescent="0.3">
      <c r="A66" s="82"/>
      <c r="B66" s="60"/>
      <c r="C66" s="60"/>
      <c r="D66" s="60"/>
      <c r="E66" s="60"/>
      <c r="F66" s="83" t="s">
        <v>102</v>
      </c>
      <c r="G66" s="90">
        <f ca="1">TODAY()</f>
        <v>43844</v>
      </c>
      <c r="H66" s="90"/>
    </row>
    <row r="67" spans="1:8" x14ac:dyDescent="0.3">
      <c r="A67" s="82"/>
      <c r="B67" s="60"/>
      <c r="C67" s="60"/>
      <c r="D67" s="60"/>
      <c r="E67" s="60"/>
      <c r="F67" s="60"/>
      <c r="G67" s="60"/>
      <c r="H67" s="84" t="s">
        <v>103</v>
      </c>
    </row>
  </sheetData>
  <mergeCells count="36">
    <mergeCell ref="B21:D21"/>
    <mergeCell ref="A1:G1"/>
    <mergeCell ref="A2:C2"/>
    <mergeCell ref="F2:H2"/>
    <mergeCell ref="A3:C3"/>
    <mergeCell ref="F3:H5"/>
    <mergeCell ref="A5:C7"/>
    <mergeCell ref="F6:H7"/>
    <mergeCell ref="C12:E12"/>
    <mergeCell ref="B15:G15"/>
    <mergeCell ref="B16:G16"/>
    <mergeCell ref="B17:G17"/>
    <mergeCell ref="B20:D20"/>
    <mergeCell ref="B22:D22"/>
    <mergeCell ref="A23:G23"/>
    <mergeCell ref="A26:A27"/>
    <mergeCell ref="B26:B27"/>
    <mergeCell ref="C26:D26"/>
    <mergeCell ref="E26:G26"/>
    <mergeCell ref="B48:C48"/>
    <mergeCell ref="H26:H27"/>
    <mergeCell ref="C28:C31"/>
    <mergeCell ref="D28:D31"/>
    <mergeCell ref="H28:H31"/>
    <mergeCell ref="A32:G32"/>
    <mergeCell ref="B38:E38"/>
    <mergeCell ref="B39:E39"/>
    <mergeCell ref="A40:G40"/>
    <mergeCell ref="B43:E43"/>
    <mergeCell ref="B44:E44"/>
    <mergeCell ref="A45:G45"/>
    <mergeCell ref="B49:C49"/>
    <mergeCell ref="A50:G50"/>
    <mergeCell ref="A51:G51"/>
    <mergeCell ref="A52:G52"/>
    <mergeCell ref="G66:H66"/>
  </mergeCells>
  <phoneticPr fontId="1" type="noConversion"/>
  <pageMargins left="0.7" right="0.7" top="0.75" bottom="0.75" header="0.3" footer="0.3"/>
  <pageSetup paperSize="9" scale="75" orientation="portrait" r:id="rId1"/>
  <rowBreaks count="1" manualBreakCount="1">
    <brk id="67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1"/>
  <sheetViews>
    <sheetView workbookViewId="0">
      <selection activeCell="B2" sqref="B2"/>
    </sheetView>
  </sheetViews>
  <sheetFormatPr defaultRowHeight="16.5" x14ac:dyDescent="0.3"/>
  <sheetData>
    <row r="1" spans="2:4" x14ac:dyDescent="0.3">
      <c r="B1" t="s">
        <v>39</v>
      </c>
      <c r="C1" t="s">
        <v>40</v>
      </c>
      <c r="D1" t="s">
        <v>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의뢰관리</vt:lpstr>
      <vt:lpstr>산업용</vt:lpstr>
      <vt:lpstr>Sheet1</vt:lpstr>
      <vt:lpstr>산업용!Print_Area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Junho Lee</dc:creator>
  <cp:lastModifiedBy>i7-8700K-02</cp:lastModifiedBy>
  <cp:lastPrinted>2020-01-09T01:34:56Z</cp:lastPrinted>
  <dcterms:created xsi:type="dcterms:W3CDTF">2018-05-28T02:28:32Z</dcterms:created>
  <dcterms:modified xsi:type="dcterms:W3CDTF">2020-01-14T01:41:33Z</dcterms:modified>
</cp:coreProperties>
</file>